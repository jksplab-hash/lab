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USER\Desktop\New folder\"/>
    </mc:Choice>
  </mc:AlternateContent>
  <xr:revisionPtr revIDLastSave="0" documentId="13_ncr:1_{BECFB9DC-F1DD-4D3A-A56E-2EDFEA90129A}" xr6:coauthVersionLast="47" xr6:coauthVersionMax="47" xr10:uidLastSave="{00000000-0000-0000-0000-000000000000}"/>
  <bookViews>
    <workbookView xWindow="-120" yWindow="-120" windowWidth="19440" windowHeight="15000" firstSheet="1" activeTab="3" xr2:uid="{00000000-000D-0000-FFFF-FFFF00000000}"/>
  </bookViews>
  <sheets>
    <sheet name="Technical Recipe Sheet" sheetId="1" r:id="rId1"/>
    <sheet name="R&amp;D Master Trial Log" sheetId="2" r:id="rId2"/>
    <sheet name="Fabric Compatibility Matrix" sheetId="3" r:id="rId3"/>
    <sheet name="Chemical Ink Libr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" l="1"/>
  <c r="E19" i="1"/>
  <c r="E18" i="1"/>
  <c r="E17" i="1"/>
  <c r="E16" i="1"/>
  <c r="E15" i="1"/>
  <c r="E20" i="1" s="1"/>
</calcChain>
</file>

<file path=xl/sharedStrings.xml><?xml version="1.0" encoding="utf-8"?>
<sst xmlns="http://schemas.openxmlformats.org/spreadsheetml/2006/main" count="248" uniqueCount="189">
  <si>
    <t>JK GARMENT SCREEN PRINTING R&amp;D - ADVANCED TECHNICAL RECIPE SHEET</t>
  </si>
  <si>
    <t>Recipe ID:</t>
  </si>
  <si>
    <t>RND-REC-2026-001</t>
  </si>
  <si>
    <t>Date:</t>
  </si>
  <si>
    <t>2026-08-01</t>
  </si>
  <si>
    <t>Style Name/No:</t>
  </si>
  <si>
    <t>ST-2026-GYMSHARK-01</t>
  </si>
  <si>
    <t>Print Technique:</t>
  </si>
  <si>
    <t>Silicone Rubber</t>
  </si>
  <si>
    <t>Developer / Exec:</t>
  </si>
  <si>
    <t>Durability Lab Exec</t>
  </si>
  <si>
    <t>Revision No:</t>
  </si>
  <si>
    <t>v2.1</t>
  </si>
  <si>
    <t xml:space="preserve">  1. SUBSTRATE &amp; FABRIC SPECIFICATIONS</t>
  </si>
  <si>
    <t>Fabric Composition:</t>
  </si>
  <si>
    <t>95% Cotton / 5% Elastane</t>
  </si>
  <si>
    <t>Fabric Color / Dye:</t>
  </si>
  <si>
    <t>Charcoal Dark Grey</t>
  </si>
  <si>
    <t>Fabric Construction:</t>
  </si>
  <si>
    <t>Single Jersey (Knitted)</t>
  </si>
  <si>
    <t>GSM / Weight:</t>
  </si>
  <si>
    <t>220 GSM</t>
  </si>
  <si>
    <t>Dye Migration Risk:</t>
  </si>
  <si>
    <t>Medium</t>
  </si>
  <si>
    <t>Undercoat Required:</t>
  </si>
  <si>
    <t>Yes (Anti-Bleed Barrier)</t>
  </si>
  <si>
    <t xml:space="preserve">  2. INK FORMULATION &amp; CHEMICAL RECIPE (Target Batch: 1,000 grams)</t>
  </si>
  <si>
    <t>Target Batch Size (g):</t>
  </si>
  <si>
    <t>*Note: Enter percentage component weights. Grams auto-calculate based on batch size.</t>
  </si>
  <si>
    <t>Component Role</t>
  </si>
  <si>
    <t>Chemical / Ink Product Name</t>
  </si>
  <si>
    <t>Supplier Code</t>
  </si>
  <si>
    <t>Percentage (%)</t>
  </si>
  <si>
    <t>Weight (Grams)</t>
  </si>
  <si>
    <t>Mixing Notes / Pot-Life</t>
  </si>
  <si>
    <t>Base Transparent</t>
  </si>
  <si>
    <t>Silicone Elastic Base Clear</t>
  </si>
  <si>
    <t>SIL-BASE-90</t>
  </si>
  <si>
    <t>High elasticity base</t>
  </si>
  <si>
    <t>Base Opaque / White</t>
  </si>
  <si>
    <t>Silicone White Undercoat Base</t>
  </si>
  <si>
    <t>SIL-WHT-10</t>
  </si>
  <si>
    <t>Provides opacity &amp; bleed barrier</t>
  </si>
  <si>
    <t>Pigment Colorant</t>
  </si>
  <si>
    <t>High Fastness Black Pigment</t>
  </si>
  <si>
    <t>PIG-BLK-05</t>
  </si>
  <si>
    <t>Color shade matching</t>
  </si>
  <si>
    <t>Catalyst / Hardener</t>
  </si>
  <si>
    <t>Silicone Platinum Catalyst</t>
  </si>
  <si>
    <t>CAT-SIL-02</t>
  </si>
  <si>
    <t>Mix thoroughly before printing</t>
  </si>
  <si>
    <t>Crosslinker / Fixer</t>
  </si>
  <si>
    <t>Anti-Fading Crosslinker</t>
  </si>
  <si>
    <t>XL-MOD-01</t>
  </si>
  <si>
    <t>Enhances wash fastness (20+ cycles)</t>
  </si>
  <si>
    <t>TOTAL FORMULATION</t>
  </si>
  <si>
    <t>Pot-Life: 4 Hours after catalyst added</t>
  </si>
  <si>
    <t xml:space="preserve">  3. TECHNICAL PRINTING &amp; MACHINE SETUP PARAMETERS</t>
  </si>
  <si>
    <t>Mesh Count (T/Inch):</t>
  </si>
  <si>
    <t>120T (305 Mesh)</t>
  </si>
  <si>
    <t>Flash Cure Temp / Time:</t>
  </si>
  <si>
    <t>110°C / 5 Seconds</t>
  </si>
  <si>
    <t>Squeegee Durometer:</t>
  </si>
  <si>
    <t>70/90/70 Triple</t>
  </si>
  <si>
    <t>Main Curing Temp:</t>
  </si>
  <si>
    <t xml:space="preserve">100°C </t>
  </si>
  <si>
    <t>Squeegee Angle / Speed:</t>
  </si>
  <si>
    <t>75° / Medium Speed</t>
  </si>
  <si>
    <t>Drying Belt Speed / Time:</t>
  </si>
  <si>
    <t>90sec</t>
  </si>
  <si>
    <t>Off-Contact Distance:</t>
  </si>
  <si>
    <t>2.5 mm</t>
  </si>
  <si>
    <t>Number of Passes / Strokes:</t>
  </si>
  <si>
    <t>2 Print - 1 Flash - 2 Print</t>
  </si>
  <si>
    <t xml:space="preserve">  4. DURABILITY LAB QUALITY TARGETS &amp; TEST RESULTS</t>
  </si>
  <si>
    <t>Test Type</t>
  </si>
  <si>
    <t>Standard / Method</t>
  </si>
  <si>
    <t>Target Grade / Requirement</t>
  </si>
  <si>
    <t>Actual Lab Result</t>
  </si>
  <si>
    <t>Pass / Fail</t>
  </si>
  <si>
    <t>Lab Inspector Notes</t>
  </si>
  <si>
    <t>Durability Wash Test</t>
  </si>
  <si>
    <t>Dry Crocking (Rubbing)</t>
  </si>
  <si>
    <t>Wet Crocking (Rubbing)</t>
  </si>
  <si>
    <t>Dye Migration</t>
  </si>
  <si>
    <t>Elasticity</t>
  </si>
  <si>
    <t xml:space="preserve">  5. TECHNICAL APPROVAL &amp; CROSS-DEPARTMENT SIGN-OFF</t>
  </si>
  <si>
    <t>R&amp;D Exec Signature:</t>
  </si>
  <si>
    <t>Approved / Reject</t>
  </si>
  <si>
    <t>Quality Dept Approval:</t>
  </si>
  <si>
    <t>Sample Dev Head:</t>
  </si>
  <si>
    <t>Production Manager:</t>
  </si>
  <si>
    <t>R&amp;D MASTER EXPERIMENTAL &amp; DURABILITY TRIAL LOG</t>
  </si>
  <si>
    <t>Trial ID</t>
  </si>
  <si>
    <t>Date</t>
  </si>
  <si>
    <t>Style / Reference</t>
  </si>
  <si>
    <t>Technique</t>
  </si>
  <si>
    <t>Fabric Type</t>
  </si>
  <si>
    <t>Trial Objective / Problem Statement</t>
  </si>
  <si>
    <t>Recipe / Parameter Variation</t>
  </si>
  <si>
    <t>Wash Result (20 Cycles)</t>
  </si>
  <si>
    <t>Crocking Result</t>
  </si>
  <si>
    <t>Overall Status</t>
  </si>
  <si>
    <t>Next Action / Remarks</t>
  </si>
  <si>
    <t>TR-2026-001</t>
  </si>
  <si>
    <t>2026-07-20</t>
  </si>
  <si>
    <t>ST-2026-GYM-01</t>
  </si>
  <si>
    <t>Silicone</t>
  </si>
  <si>
    <t>95% Ctn / 5% Elastane</t>
  </si>
  <si>
    <t>Improve fabric wash fastness after 20 cycles</t>
  </si>
  <si>
    <t>Added 2% Crosslinker XL-MOD-01</t>
  </si>
  <si>
    <t>Grade 4.5 (Pass)</t>
  </si>
  <si>
    <t>Grade 4.5</t>
  </si>
  <si>
    <t>APPROVED</t>
  </si>
  <si>
    <t>Standardize recipe for bulk production</t>
  </si>
  <si>
    <t>TR-2026-002</t>
  </si>
  <si>
    <t>2026-07-22</t>
  </si>
  <si>
    <t>ST-2026-GYM-02</t>
  </si>
  <si>
    <t>Rubber Print</t>
  </si>
  <si>
    <t>100% Polyester</t>
  </si>
  <si>
    <t>Prevent dye migration on dark red poly</t>
  </si>
  <si>
    <t>Applied Anti-Bleed Black Barrier Base</t>
  </si>
  <si>
    <t>Grade 4.0 (Pass)</t>
  </si>
  <si>
    <t>Grade 4.0</t>
  </si>
  <si>
    <t>Ensure oven temp does not exceed 150°C</t>
  </si>
  <si>
    <t>TR-2026-003</t>
  </si>
  <si>
    <t>2026-07-25</t>
  </si>
  <si>
    <t>ST-2026-NK-05</t>
  </si>
  <si>
    <t>High Density</t>
  </si>
  <si>
    <t>80% Nylon / 20% Spandex</t>
  </si>
  <si>
    <t>Prevent edge cracking after stretch</t>
  </si>
  <si>
    <t>Testing softer HD clear base formula</t>
  </si>
  <si>
    <t>Grade 2.5 (Fail)</t>
  </si>
  <si>
    <t>Grade 3.5</t>
  </si>
  <si>
    <t>REJECTED</t>
  </si>
  <si>
    <t>Increase base elasticity; rerun trial with catalyst</t>
  </si>
  <si>
    <t>TR-2026-004</t>
  </si>
  <si>
    <t>2026-07-28</t>
  </si>
  <si>
    <t>ST-2026-PUMA-09</t>
  </si>
  <si>
    <t>Flock Print</t>
  </si>
  <si>
    <t>100% Cotton</t>
  </si>
  <si>
    <t>Reduce fiber shedding after 10 washes</t>
  </si>
  <si>
    <t>Increased flock adhesive thickness to 0.3mm</t>
  </si>
  <si>
    <t>Transfer SOP to Sample Development</t>
  </si>
  <si>
    <t>TR-2026-005</t>
  </si>
  <si>
    <t>2026-07-30</t>
  </si>
  <si>
    <t>ST-2026-ADI-12</t>
  </si>
  <si>
    <t>Glitter Print</t>
  </si>
  <si>
    <t>60% Cotton / 40% Poly</t>
  </si>
  <si>
    <t>Improve glitter binder wash durability</t>
  </si>
  <si>
    <t>Used 36T mesh with high-stretch binder</t>
  </si>
  <si>
    <t>Grade 4.2 (Pass)</t>
  </si>
  <si>
    <t>Approved for commercial production</t>
  </si>
  <si>
    <t>PRINT TECHNIQUE vs. FABRIC SUBSTRATE COMPATIBILITY MATRIX</t>
  </si>
  <si>
    <t>Print Technique</t>
  </si>
  <si>
    <t>Poly / Cotton (CVC/TC)</t>
  </si>
  <si>
    <t>Nylon / Synthetics</t>
  </si>
  <si>
    <t>Spandex / Elastane</t>
  </si>
  <si>
    <t>Critical R&amp;D Technical Requirement</t>
  </si>
  <si>
    <t>Pigment Print</t>
  </si>
  <si>
    <t>RECOMMENDED</t>
  </si>
  <si>
    <t>NOT RECOMMENDED</t>
  </si>
  <si>
    <t>Check dry/wet crocking fastness; soft hand feel base needed</t>
  </si>
  <si>
    <t>REQUIRES UNDERCOAT</t>
  </si>
  <si>
    <t>HIGH-STRETCH BASE</t>
  </si>
  <si>
    <t>Must use anti-bleed barrier undercoat on polyester</t>
  </si>
  <si>
    <t>Silicone Print</t>
  </si>
  <si>
    <t>Best for high stretch; monitor 4-hr catalyst pot-life</t>
  </si>
  <si>
    <t>High Density (HD)</t>
  </si>
  <si>
    <t>CAUTION (CRACKING)</t>
  </si>
  <si>
    <t>Requires thick emulsion capillary film stencil &amp; slow flash cure</t>
  </si>
  <si>
    <t>Control adhesive layer thickness (min 0.3mm) for wash durability</t>
  </si>
  <si>
    <t>CAUTION (FALLOUT)</t>
  </si>
  <si>
    <t>Use coarse mesh (24T-36T) and high-clarity binder base</t>
  </si>
  <si>
    <t>Product Name</t>
  </si>
  <si>
    <t>Role</t>
  </si>
  <si>
    <t>Notes</t>
  </si>
  <si>
    <t>Silicone Base Clear</t>
  </si>
  <si>
    <t>High elasticity silicone base</t>
  </si>
  <si>
    <t>Silicone White Undercoat</t>
  </si>
  <si>
    <t>High Fastness Red Pigment</t>
  </si>
  <si>
    <t>PIG-RED-02</t>
  </si>
  <si>
    <t>Vibrant red shade matching</t>
  </si>
  <si>
    <t>Water-Based Elastic Clear Base</t>
  </si>
  <si>
    <t>WB-BASE-01</t>
  </si>
  <si>
    <t>Eco-friendly soft hand base</t>
  </si>
  <si>
    <t>Plastisol High-Opacity White</t>
  </si>
  <si>
    <t>PL-WHT-99</t>
  </si>
  <si>
    <t>Heavy coverage underbase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</si>
</sst>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0"/>
      <color rgb="FF334155"/>
      <name val="Calibri"/>
    </font>
    <font>
      <sz val="10"/>
      <color rgb="FF0F172A"/>
      <name val="Calibri"/>
    </font>
    <font>
      <b/>
      <sz val="11"/>
      <color rgb="FFFFFFFF"/>
      <name val="Calibri"/>
    </font>
    <font>
      <b/>
      <sz val="10"/>
      <color rgb="FF0F172A"/>
      <name val="Calibri"/>
    </font>
    <font>
      <i/>
      <sz val="10"/>
      <color rgb="FF94A3B8"/>
      <name val="Calibri"/>
    </font>
    <font>
      <b/>
      <sz val="10"/>
      <color rgb="FFFFFFFF"/>
      <name val="Calibri"/>
    </font>
    <font>
      <b/>
      <sz val="10"/>
      <color rgb="FF166534"/>
      <name val="Calibri"/>
    </font>
    <font>
      <b/>
      <sz val="10"/>
      <color rgb="FF991B1B"/>
      <name val="Calibri"/>
    </font>
    <font>
      <b/>
      <sz val="9"/>
      <color rgb="FF166534"/>
      <name val="Calibri"/>
    </font>
    <font>
      <b/>
      <sz val="9"/>
      <color rgb="FF991B1B"/>
      <name val="Calibri"/>
    </font>
    <font>
      <b/>
      <sz val="9"/>
      <color rgb="FF854D0E"/>
      <name val="Calibri"/>
    </font>
    <font>
      <b/>
      <sz val="9"/>
      <color rgb="FF9A3412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  <fill>
      <patternFill patternType="solid">
        <fgColor rgb="FF2563EB"/>
        <bgColor rgb="FF2563EB"/>
      </patternFill>
    </fill>
    <fill>
      <patternFill patternType="solid">
        <fgColor rgb="FFDCFCE7"/>
        <bgColor rgb="FFDCFCE7"/>
      </patternFill>
    </fill>
    <fill>
      <patternFill patternType="solid">
        <fgColor rgb="FFFEE2E2"/>
        <bgColor rgb="FFFEE2E2"/>
      </patternFill>
    </fill>
    <fill>
      <patternFill patternType="solid">
        <fgColor rgb="FFFEF9C3"/>
        <bgColor rgb="FFFEF9C3"/>
      </patternFill>
    </fill>
    <fill>
      <patternFill patternType="solid">
        <fgColor rgb="FFFFEDD5"/>
        <bgColor rgb="FFFFEDD5"/>
      </patternFill>
    </fill>
  </fills>
  <borders count="8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1E293B"/>
      </bottom>
      <diagonal/>
    </border>
    <border>
      <left style="thin">
        <color rgb="FFCBD5E1"/>
      </left>
      <right style="thin">
        <color rgb="FFCBD5E1"/>
      </right>
      <top/>
      <bottom/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double">
        <color rgb="FF1E293B"/>
      </bottom>
      <diagonal/>
    </border>
    <border>
      <left/>
      <right/>
      <top style="thin">
        <color rgb="FFCBD5E1"/>
      </top>
      <bottom style="double">
        <color rgb="FF1E293B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3" borderId="1" xfId="0" applyFont="1" applyFill="1" applyBorder="1"/>
    <xf numFmtId="164" fontId="3" fillId="0" borderId="1" xfId="0" applyNumberFormat="1" applyFont="1" applyBorder="1" applyAlignment="1">
      <alignment horizontal="right"/>
    </xf>
    <xf numFmtId="165" fontId="5" fillId="0" borderId="1" xfId="0" applyNumberFormat="1" applyFont="1" applyBorder="1" applyAlignment="1">
      <alignment horizontal="right"/>
    </xf>
    <xf numFmtId="164" fontId="5" fillId="3" borderId="2" xfId="0" applyNumberFormat="1" applyFont="1" applyFill="1" applyBorder="1" applyAlignment="1">
      <alignment horizontal="right"/>
    </xf>
    <xf numFmtId="165" fontId="5" fillId="3" borderId="2" xfId="0" applyNumberFormat="1" applyFont="1" applyFill="1" applyBorder="1" applyAlignment="1">
      <alignment horizontal="right"/>
    </xf>
    <xf numFmtId="0" fontId="8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0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0" fontId="7" fillId="2" borderId="1" xfId="0" applyFont="1" applyFill="1" applyBorder="1" applyAlignment="1">
      <alignment horizontal="center" vertical="center" wrapText="1"/>
    </xf>
    <xf numFmtId="0" fontId="0" fillId="0" borderId="0" xfId="0"/>
    <xf numFmtId="0" fontId="3" fillId="0" borderId="3" xfId="0" applyFont="1" applyBorder="1"/>
    <xf numFmtId="0" fontId="3" fillId="0" borderId="1" xfId="0" applyFont="1" applyBorder="1"/>
    <xf numFmtId="0" fontId="0" fillId="0" borderId="5" xfId="0" applyBorder="1"/>
    <xf numFmtId="0" fontId="0" fillId="0" borderId="4" xfId="0" applyBorder="1"/>
    <xf numFmtId="0" fontId="7" fillId="2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left" vertical="center"/>
    </xf>
    <xf numFmtId="0" fontId="0" fillId="0" borderId="0" xfId="0"/>
    <xf numFmtId="0" fontId="6" fillId="3" borderId="2" xfId="0" applyFont="1" applyFill="1" applyBorder="1"/>
    <xf numFmtId="0" fontId="0" fillId="0" borderId="6" xfId="0" applyBorder="1"/>
    <xf numFmtId="0" fontId="5" fillId="3" borderId="2" xfId="0" applyFont="1" applyFill="1" applyBorder="1"/>
    <xf numFmtId="0" fontId="0" fillId="0" borderId="7" xfId="0" applyBorder="1"/>
    <xf numFmtId="3" fontId="5" fillId="0" borderId="1" xfId="0" applyNumberFormat="1" applyFont="1" applyBorder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8"/>
  <sheetViews>
    <sheetView topLeftCell="A16" workbookViewId="0">
      <selection activeCell="E37" sqref="E37"/>
    </sheetView>
  </sheetViews>
  <sheetFormatPr defaultRowHeight="15" x14ac:dyDescent="0.25"/>
  <cols>
    <col min="1" max="1" width="22" style="18" customWidth="1"/>
    <col min="2" max="2" width="28" style="18" customWidth="1"/>
    <col min="3" max="3" width="18" style="18" customWidth="1"/>
    <col min="4" max="4" width="22" style="18" customWidth="1"/>
    <col min="5" max="5" width="20" style="18" customWidth="1"/>
    <col min="6" max="6" width="22" style="18" customWidth="1"/>
    <col min="7" max="7" width="12.28515625" style="18" customWidth="1"/>
  </cols>
  <sheetData>
    <row r="1" spans="1:7" ht="39.950000000000003" customHeight="1" x14ac:dyDescent="0.25">
      <c r="A1" s="31" t="s">
        <v>0</v>
      </c>
      <c r="B1" s="25"/>
      <c r="C1" s="25"/>
      <c r="D1" s="25"/>
      <c r="E1" s="25"/>
      <c r="F1" s="25"/>
      <c r="G1" s="25"/>
    </row>
    <row r="3" spans="1:7" ht="20.100000000000001" customHeight="1" x14ac:dyDescent="0.25">
      <c r="A3" s="1" t="s">
        <v>1</v>
      </c>
      <c r="B3" s="20" t="s">
        <v>2</v>
      </c>
      <c r="C3" s="22"/>
      <c r="D3" s="1" t="s">
        <v>3</v>
      </c>
      <c r="E3" s="20" t="s">
        <v>4</v>
      </c>
      <c r="F3" s="21"/>
      <c r="G3" s="22"/>
    </row>
    <row r="4" spans="1:7" ht="20.100000000000001" customHeight="1" x14ac:dyDescent="0.25">
      <c r="A4" s="1" t="s">
        <v>5</v>
      </c>
      <c r="B4" s="20" t="s">
        <v>6</v>
      </c>
      <c r="C4" s="22"/>
      <c r="D4" s="1" t="s">
        <v>7</v>
      </c>
      <c r="E4" s="20" t="s">
        <v>8</v>
      </c>
      <c r="F4" s="21"/>
      <c r="G4" s="22"/>
    </row>
    <row r="5" spans="1:7" ht="20.100000000000001" customHeight="1" x14ac:dyDescent="0.25">
      <c r="A5" s="1" t="s">
        <v>9</v>
      </c>
      <c r="B5" s="20" t="s">
        <v>10</v>
      </c>
      <c r="C5" s="22"/>
      <c r="D5" s="1" t="s">
        <v>11</v>
      </c>
      <c r="E5" s="20" t="s">
        <v>12</v>
      </c>
      <c r="F5" s="21"/>
      <c r="G5" s="22"/>
    </row>
    <row r="7" spans="1:7" ht="24" customHeight="1" x14ac:dyDescent="0.25">
      <c r="A7" s="24" t="s">
        <v>13</v>
      </c>
      <c r="B7" s="25"/>
      <c r="C7" s="25"/>
      <c r="D7" s="25"/>
      <c r="E7" s="25"/>
      <c r="F7" s="25"/>
      <c r="G7" s="25"/>
    </row>
    <row r="8" spans="1:7" ht="20.100000000000001" customHeight="1" x14ac:dyDescent="0.25">
      <c r="A8" s="1" t="s">
        <v>14</v>
      </c>
      <c r="B8" s="20" t="s">
        <v>15</v>
      </c>
      <c r="C8" s="22"/>
      <c r="D8" s="1" t="s">
        <v>16</v>
      </c>
      <c r="E8" s="20" t="s">
        <v>17</v>
      </c>
      <c r="F8" s="21"/>
      <c r="G8" s="22"/>
    </row>
    <row r="9" spans="1:7" ht="20.100000000000001" customHeight="1" x14ac:dyDescent="0.25">
      <c r="A9" s="1" t="s">
        <v>18</v>
      </c>
      <c r="B9" s="20" t="s">
        <v>19</v>
      </c>
      <c r="C9" s="22"/>
      <c r="D9" s="1" t="s">
        <v>20</v>
      </c>
      <c r="E9" s="20" t="s">
        <v>21</v>
      </c>
      <c r="F9" s="21"/>
      <c r="G9" s="22"/>
    </row>
    <row r="10" spans="1:7" ht="20.100000000000001" customHeight="1" x14ac:dyDescent="0.25">
      <c r="A10" s="1" t="s">
        <v>22</v>
      </c>
      <c r="B10" s="20" t="s">
        <v>23</v>
      </c>
      <c r="C10" s="22"/>
      <c r="D10" s="1" t="s">
        <v>24</v>
      </c>
      <c r="E10" s="20" t="s">
        <v>25</v>
      </c>
      <c r="F10" s="21"/>
      <c r="G10" s="22"/>
    </row>
    <row r="12" spans="1:7" ht="24" customHeight="1" x14ac:dyDescent="0.25">
      <c r="A12" s="24" t="s">
        <v>26</v>
      </c>
      <c r="B12" s="25"/>
      <c r="C12" s="25"/>
      <c r="D12" s="25"/>
      <c r="E12" s="25"/>
      <c r="F12" s="25"/>
      <c r="G12" s="25"/>
    </row>
    <row r="13" spans="1:7" ht="21.95" customHeight="1" x14ac:dyDescent="0.25">
      <c r="A13" s="1" t="s">
        <v>27</v>
      </c>
      <c r="B13" s="30">
        <v>1000</v>
      </c>
      <c r="C13" s="22"/>
      <c r="D13" s="32" t="s">
        <v>28</v>
      </c>
      <c r="E13" s="21"/>
      <c r="F13" s="21"/>
      <c r="G13" s="22"/>
    </row>
    <row r="14" spans="1:7" ht="24" customHeight="1" x14ac:dyDescent="0.25">
      <c r="A14" s="17" t="s">
        <v>29</v>
      </c>
      <c r="B14" s="17" t="s">
        <v>30</v>
      </c>
      <c r="C14" s="17" t="s">
        <v>31</v>
      </c>
      <c r="D14" s="17" t="s">
        <v>32</v>
      </c>
      <c r="E14" s="17" t="s">
        <v>33</v>
      </c>
      <c r="F14" s="23" t="s">
        <v>34</v>
      </c>
      <c r="G14" s="22"/>
    </row>
    <row r="15" spans="1:7" ht="20.100000000000001" customHeight="1" x14ac:dyDescent="0.25">
      <c r="A15" s="15" t="s">
        <v>35</v>
      </c>
      <c r="B15" s="15" t="s">
        <v>36</v>
      </c>
      <c r="C15" s="15" t="s">
        <v>37</v>
      </c>
      <c r="D15" s="2">
        <v>0.7</v>
      </c>
      <c r="E15" s="3">
        <f>D15*$B$13</f>
        <v>700</v>
      </c>
      <c r="F15" s="20" t="s">
        <v>38</v>
      </c>
      <c r="G15" s="22"/>
    </row>
    <row r="16" spans="1:7" ht="20.100000000000001" customHeight="1" x14ac:dyDescent="0.25">
      <c r="A16" s="15" t="s">
        <v>39</v>
      </c>
      <c r="B16" s="15" t="s">
        <v>40</v>
      </c>
      <c r="C16" s="15" t="s">
        <v>41</v>
      </c>
      <c r="D16" s="2">
        <v>0.2</v>
      </c>
      <c r="E16" s="3">
        <f>D16*$B$13</f>
        <v>200</v>
      </c>
      <c r="F16" s="20" t="s">
        <v>42</v>
      </c>
      <c r="G16" s="22"/>
    </row>
    <row r="17" spans="1:7" ht="20.100000000000001" customHeight="1" x14ac:dyDescent="0.25">
      <c r="A17" s="15" t="s">
        <v>43</v>
      </c>
      <c r="B17" s="15" t="s">
        <v>44</v>
      </c>
      <c r="C17" s="15" t="s">
        <v>45</v>
      </c>
      <c r="D17" s="2">
        <v>0.05</v>
      </c>
      <c r="E17" s="3">
        <f>D17*$B$13</f>
        <v>50</v>
      </c>
      <c r="F17" s="20" t="s">
        <v>46</v>
      </c>
      <c r="G17" s="22"/>
    </row>
    <row r="18" spans="1:7" ht="20.100000000000001" customHeight="1" x14ac:dyDescent="0.25">
      <c r="A18" s="15" t="s">
        <v>47</v>
      </c>
      <c r="B18" s="15" t="s">
        <v>48</v>
      </c>
      <c r="C18" s="15" t="s">
        <v>49</v>
      </c>
      <c r="D18" s="2">
        <v>0.02</v>
      </c>
      <c r="E18" s="3">
        <f>D18*$B$13</f>
        <v>20</v>
      </c>
      <c r="F18" s="20" t="s">
        <v>50</v>
      </c>
      <c r="G18" s="22"/>
    </row>
    <row r="19" spans="1:7" ht="20.100000000000001" customHeight="1" x14ac:dyDescent="0.25">
      <c r="A19" s="15" t="s">
        <v>51</v>
      </c>
      <c r="B19" s="15" t="s">
        <v>52</v>
      </c>
      <c r="C19" s="15" t="s">
        <v>53</v>
      </c>
      <c r="D19" s="2">
        <v>0.03</v>
      </c>
      <c r="E19" s="3">
        <f>D19*$B$13</f>
        <v>30</v>
      </c>
      <c r="F19" s="20" t="s">
        <v>54</v>
      </c>
      <c r="G19" s="22"/>
    </row>
    <row r="20" spans="1:7" ht="21.95" customHeight="1" x14ac:dyDescent="0.25">
      <c r="A20" s="28" t="s">
        <v>55</v>
      </c>
      <c r="B20" s="29"/>
      <c r="C20" s="27"/>
      <c r="D20" s="4">
        <f>SUM(D15:D19)</f>
        <v>1</v>
      </c>
      <c r="E20" s="5">
        <f>SUM(E15:E19)</f>
        <v>1000</v>
      </c>
      <c r="F20" s="26" t="s">
        <v>56</v>
      </c>
      <c r="G20" s="27"/>
    </row>
    <row r="22" spans="1:7" ht="24" customHeight="1" x14ac:dyDescent="0.25">
      <c r="A22" s="24" t="s">
        <v>57</v>
      </c>
      <c r="B22" s="25"/>
      <c r="C22" s="25"/>
      <c r="D22" s="25"/>
      <c r="E22" s="25"/>
      <c r="F22" s="25"/>
      <c r="G22" s="25"/>
    </row>
    <row r="23" spans="1:7" ht="20.100000000000001" customHeight="1" x14ac:dyDescent="0.25">
      <c r="A23" s="1" t="s">
        <v>58</v>
      </c>
      <c r="B23" s="20" t="s">
        <v>59</v>
      </c>
      <c r="C23" s="22"/>
      <c r="D23" s="1" t="s">
        <v>60</v>
      </c>
      <c r="E23" s="20" t="s">
        <v>61</v>
      </c>
      <c r="F23" s="21"/>
      <c r="G23" s="22"/>
    </row>
    <row r="24" spans="1:7" ht="20.100000000000001" customHeight="1" x14ac:dyDescent="0.25">
      <c r="A24" s="1" t="s">
        <v>62</v>
      </c>
      <c r="B24" s="20" t="s">
        <v>63</v>
      </c>
      <c r="C24" s="22"/>
      <c r="D24" s="1" t="s">
        <v>64</v>
      </c>
      <c r="E24" s="20" t="s">
        <v>65</v>
      </c>
      <c r="F24" s="21"/>
      <c r="G24" s="22"/>
    </row>
    <row r="25" spans="1:7" ht="20.100000000000001" customHeight="1" x14ac:dyDescent="0.25">
      <c r="A25" s="1" t="s">
        <v>66</v>
      </c>
      <c r="B25" s="20" t="s">
        <v>67</v>
      </c>
      <c r="C25" s="22"/>
      <c r="D25" s="1" t="s">
        <v>68</v>
      </c>
      <c r="E25" s="20" t="s">
        <v>69</v>
      </c>
      <c r="F25" s="21"/>
      <c r="G25" s="22"/>
    </row>
    <row r="26" spans="1:7" ht="20.100000000000001" customHeight="1" x14ac:dyDescent="0.25">
      <c r="A26" s="1" t="s">
        <v>70</v>
      </c>
      <c r="B26" s="20" t="s">
        <v>71</v>
      </c>
      <c r="C26" s="22"/>
      <c r="D26" s="1" t="s">
        <v>72</v>
      </c>
      <c r="E26" s="20" t="s">
        <v>73</v>
      </c>
      <c r="F26" s="21"/>
      <c r="G26" s="22"/>
    </row>
    <row r="28" spans="1:7" ht="24" customHeight="1" x14ac:dyDescent="0.25">
      <c r="A28" s="24" t="s">
        <v>74</v>
      </c>
      <c r="B28" s="25"/>
      <c r="C28" s="25"/>
      <c r="D28" s="25"/>
      <c r="E28" s="25"/>
      <c r="F28" s="25"/>
      <c r="G28" s="25"/>
    </row>
    <row r="29" spans="1:7" ht="31.5" customHeight="1" x14ac:dyDescent="0.25">
      <c r="A29" s="17" t="s">
        <v>75</v>
      </c>
      <c r="B29" s="17" t="s">
        <v>76</v>
      </c>
      <c r="C29" s="17" t="s">
        <v>77</v>
      </c>
      <c r="D29" s="17" t="s">
        <v>78</v>
      </c>
      <c r="E29" s="17" t="s">
        <v>79</v>
      </c>
      <c r="F29" s="23" t="s">
        <v>80</v>
      </c>
      <c r="G29" s="22"/>
    </row>
    <row r="30" spans="1:7" ht="20.100000000000001" customHeight="1" x14ac:dyDescent="0.25">
      <c r="A30" s="15" t="s">
        <v>81</v>
      </c>
      <c r="B30" s="15"/>
      <c r="C30" s="15"/>
      <c r="D30" s="15"/>
      <c r="E30" s="6"/>
      <c r="F30" s="20"/>
      <c r="G30" s="22"/>
    </row>
    <row r="31" spans="1:7" ht="20.100000000000001" customHeight="1" x14ac:dyDescent="0.25">
      <c r="A31" s="15" t="s">
        <v>82</v>
      </c>
      <c r="B31" s="15"/>
      <c r="C31" s="15"/>
      <c r="D31" s="15"/>
      <c r="E31" s="6"/>
      <c r="F31" s="20"/>
      <c r="G31" s="22"/>
    </row>
    <row r="32" spans="1:7" ht="20.100000000000001" customHeight="1" x14ac:dyDescent="0.25">
      <c r="A32" s="15" t="s">
        <v>83</v>
      </c>
      <c r="B32" s="15"/>
      <c r="C32" s="15"/>
      <c r="D32" s="15"/>
      <c r="E32" s="6"/>
      <c r="F32" s="20"/>
      <c r="G32" s="22"/>
    </row>
    <row r="33" spans="1:7" ht="20.100000000000001" customHeight="1" x14ac:dyDescent="0.25">
      <c r="A33" s="19" t="s">
        <v>84</v>
      </c>
      <c r="B33" s="15"/>
      <c r="C33" s="15"/>
      <c r="D33" s="15"/>
      <c r="E33" s="6"/>
      <c r="F33" s="20"/>
      <c r="G33" s="22"/>
    </row>
    <row r="34" spans="1:7" ht="20.100000000000001" customHeight="1" x14ac:dyDescent="0.25">
      <c r="A34" s="15" t="s">
        <v>85</v>
      </c>
      <c r="B34" s="15"/>
      <c r="C34" s="15"/>
      <c r="D34" s="15"/>
      <c r="E34" s="6"/>
      <c r="F34" s="20"/>
      <c r="G34" s="22"/>
    </row>
    <row r="36" spans="1:7" ht="24" customHeight="1" x14ac:dyDescent="0.25">
      <c r="A36" s="24" t="s">
        <v>86</v>
      </c>
      <c r="B36" s="25"/>
      <c r="C36" s="25"/>
      <c r="D36" s="25"/>
      <c r="E36" s="25"/>
      <c r="F36" s="25"/>
      <c r="G36" s="25"/>
    </row>
    <row r="37" spans="1:7" ht="20.100000000000001" customHeight="1" x14ac:dyDescent="0.25">
      <c r="A37" s="1" t="s">
        <v>87</v>
      </c>
      <c r="B37" s="20" t="s">
        <v>88</v>
      </c>
      <c r="C37" s="22"/>
      <c r="D37" s="1" t="s">
        <v>89</v>
      </c>
      <c r="E37" s="15" t="s">
        <v>88</v>
      </c>
      <c r="F37" s="16"/>
      <c r="G37" s="16"/>
    </row>
    <row r="38" spans="1:7" ht="20.100000000000001" customHeight="1" x14ac:dyDescent="0.25">
      <c r="A38" s="1" t="s">
        <v>90</v>
      </c>
      <c r="B38" s="20" t="s">
        <v>88</v>
      </c>
      <c r="C38" s="22"/>
      <c r="D38" s="1" t="s">
        <v>91</v>
      </c>
      <c r="E38" s="15" t="s">
        <v>88</v>
      </c>
      <c r="F38" s="16"/>
      <c r="G38" s="16"/>
    </row>
  </sheetData>
  <mergeCells count="44">
    <mergeCell ref="A36:G36"/>
    <mergeCell ref="B38:C38"/>
    <mergeCell ref="A1:G1"/>
    <mergeCell ref="B37:C37"/>
    <mergeCell ref="B10:C10"/>
    <mergeCell ref="F31:G31"/>
    <mergeCell ref="E3:G3"/>
    <mergeCell ref="A7:G7"/>
    <mergeCell ref="B9:C9"/>
    <mergeCell ref="D13:G13"/>
    <mergeCell ref="E24:G24"/>
    <mergeCell ref="B24:C24"/>
    <mergeCell ref="E5:G5"/>
    <mergeCell ref="B5:C5"/>
    <mergeCell ref="E23:G23"/>
    <mergeCell ref="A12:G12"/>
    <mergeCell ref="F34:G34"/>
    <mergeCell ref="E9:G9"/>
    <mergeCell ref="A28:G28"/>
    <mergeCell ref="F30:G30"/>
    <mergeCell ref="F15:G15"/>
    <mergeCell ref="F20:G20"/>
    <mergeCell ref="F18:G18"/>
    <mergeCell ref="B23:C23"/>
    <mergeCell ref="F33:G33"/>
    <mergeCell ref="E26:G26"/>
    <mergeCell ref="F32:G32"/>
    <mergeCell ref="A20:C20"/>
    <mergeCell ref="F17:G17"/>
    <mergeCell ref="E25:G25"/>
    <mergeCell ref="B13:C13"/>
    <mergeCell ref="F14:G14"/>
    <mergeCell ref="E10:G10"/>
    <mergeCell ref="B25:C25"/>
    <mergeCell ref="F16:G16"/>
    <mergeCell ref="F29:G29"/>
    <mergeCell ref="B3:C3"/>
    <mergeCell ref="A22:G22"/>
    <mergeCell ref="F19:G19"/>
    <mergeCell ref="B8:C8"/>
    <mergeCell ref="E8:G8"/>
    <mergeCell ref="E4:G4"/>
    <mergeCell ref="B26:C26"/>
    <mergeCell ref="B4:C4"/>
  </mergeCells>
  <pageMargins left="0.75" right="0.75" top="1" bottom="1" header="0.5" footer="0.5"/>
  <pageSetup paperSize="9" scale="90" fitToHeight="0" orientation="landscape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workbookViewId="0">
      <selection sqref="A1:K1"/>
    </sheetView>
  </sheetViews>
  <sheetFormatPr defaultRowHeight="15" x14ac:dyDescent="0.25"/>
  <cols>
    <col min="1" max="1" width="15" style="18" customWidth="1"/>
    <col min="2" max="2" width="14" style="18" customWidth="1"/>
    <col min="3" max="3" width="18" style="18" customWidth="1"/>
    <col min="4" max="4" width="16" style="18" customWidth="1"/>
    <col min="5" max="5" width="24" style="18" customWidth="1"/>
    <col min="6" max="6" width="35" style="18" customWidth="1"/>
    <col min="7" max="7" width="32" style="18" customWidth="1"/>
    <col min="8" max="8" width="22" style="18" customWidth="1"/>
    <col min="9" max="9" width="16" style="18" customWidth="1"/>
    <col min="10" max="10" width="15" style="18" customWidth="1"/>
    <col min="11" max="11" width="35" style="18" customWidth="1"/>
  </cols>
  <sheetData>
    <row r="1" spans="1:11" ht="39.950000000000003" customHeight="1" x14ac:dyDescent="0.25">
      <c r="A1" s="31" t="s">
        <v>92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3" spans="1:11" ht="27.95" customHeight="1" x14ac:dyDescent="0.25">
      <c r="A3" s="17" t="s">
        <v>93</v>
      </c>
      <c r="B3" s="17" t="s">
        <v>94</v>
      </c>
      <c r="C3" s="17" t="s">
        <v>95</v>
      </c>
      <c r="D3" s="17" t="s">
        <v>96</v>
      </c>
      <c r="E3" s="17" t="s">
        <v>97</v>
      </c>
      <c r="F3" s="17" t="s">
        <v>98</v>
      </c>
      <c r="G3" s="17" t="s">
        <v>99</v>
      </c>
      <c r="H3" s="17" t="s">
        <v>100</v>
      </c>
      <c r="I3" s="17" t="s">
        <v>101</v>
      </c>
      <c r="J3" s="17" t="s">
        <v>102</v>
      </c>
      <c r="K3" s="17" t="s">
        <v>103</v>
      </c>
    </row>
    <row r="4" spans="1:11" ht="21.95" customHeight="1" x14ac:dyDescent="0.25">
      <c r="A4" s="7" t="s">
        <v>104</v>
      </c>
      <c r="B4" s="7" t="s">
        <v>105</v>
      </c>
      <c r="C4" s="7" t="s">
        <v>106</v>
      </c>
      <c r="D4" s="7" t="s">
        <v>107</v>
      </c>
      <c r="E4" s="7" t="s">
        <v>108</v>
      </c>
      <c r="F4" s="7" t="s">
        <v>109</v>
      </c>
      <c r="G4" s="7" t="s">
        <v>110</v>
      </c>
      <c r="H4" s="7" t="s">
        <v>111</v>
      </c>
      <c r="I4" s="7" t="s">
        <v>112</v>
      </c>
      <c r="J4" s="8" t="s">
        <v>113</v>
      </c>
      <c r="K4" s="7" t="s">
        <v>114</v>
      </c>
    </row>
    <row r="5" spans="1:11" ht="21.95" customHeight="1" x14ac:dyDescent="0.25">
      <c r="A5" s="7" t="s">
        <v>115</v>
      </c>
      <c r="B5" s="7" t="s">
        <v>116</v>
      </c>
      <c r="C5" s="7" t="s">
        <v>117</v>
      </c>
      <c r="D5" s="7" t="s">
        <v>118</v>
      </c>
      <c r="E5" s="7" t="s">
        <v>119</v>
      </c>
      <c r="F5" s="7" t="s">
        <v>120</v>
      </c>
      <c r="G5" s="7" t="s">
        <v>121</v>
      </c>
      <c r="H5" s="7" t="s">
        <v>122</v>
      </c>
      <c r="I5" s="7" t="s">
        <v>123</v>
      </c>
      <c r="J5" s="8" t="s">
        <v>113</v>
      </c>
      <c r="K5" s="7" t="s">
        <v>124</v>
      </c>
    </row>
    <row r="6" spans="1:11" ht="21.95" customHeight="1" x14ac:dyDescent="0.25">
      <c r="A6" s="7" t="s">
        <v>125</v>
      </c>
      <c r="B6" s="7" t="s">
        <v>126</v>
      </c>
      <c r="C6" s="7" t="s">
        <v>127</v>
      </c>
      <c r="D6" s="7" t="s">
        <v>128</v>
      </c>
      <c r="E6" s="7" t="s">
        <v>129</v>
      </c>
      <c r="F6" s="7" t="s">
        <v>130</v>
      </c>
      <c r="G6" s="7" t="s">
        <v>131</v>
      </c>
      <c r="H6" s="7" t="s">
        <v>132</v>
      </c>
      <c r="I6" s="7" t="s">
        <v>133</v>
      </c>
      <c r="J6" s="9" t="s">
        <v>134</v>
      </c>
      <c r="K6" s="7" t="s">
        <v>135</v>
      </c>
    </row>
    <row r="7" spans="1:11" ht="21.95" customHeight="1" x14ac:dyDescent="0.25">
      <c r="A7" s="7" t="s">
        <v>136</v>
      </c>
      <c r="B7" s="7" t="s">
        <v>137</v>
      </c>
      <c r="C7" s="7" t="s">
        <v>138</v>
      </c>
      <c r="D7" s="7" t="s">
        <v>139</v>
      </c>
      <c r="E7" s="7" t="s">
        <v>140</v>
      </c>
      <c r="F7" s="7" t="s">
        <v>141</v>
      </c>
      <c r="G7" s="7" t="s">
        <v>142</v>
      </c>
      <c r="H7" s="7" t="s">
        <v>122</v>
      </c>
      <c r="I7" s="7" t="s">
        <v>123</v>
      </c>
      <c r="J7" s="8" t="s">
        <v>113</v>
      </c>
      <c r="K7" s="7" t="s">
        <v>143</v>
      </c>
    </row>
    <row r="8" spans="1:11" ht="21.95" customHeight="1" x14ac:dyDescent="0.25">
      <c r="A8" s="7" t="s">
        <v>144</v>
      </c>
      <c r="B8" s="7" t="s">
        <v>145</v>
      </c>
      <c r="C8" s="7" t="s">
        <v>146</v>
      </c>
      <c r="D8" s="7" t="s">
        <v>147</v>
      </c>
      <c r="E8" s="7" t="s">
        <v>148</v>
      </c>
      <c r="F8" s="7" t="s">
        <v>149</v>
      </c>
      <c r="G8" s="7" t="s">
        <v>150</v>
      </c>
      <c r="H8" s="7" t="s">
        <v>151</v>
      </c>
      <c r="I8" s="7" t="s">
        <v>123</v>
      </c>
      <c r="J8" s="8" t="s">
        <v>113</v>
      </c>
      <c r="K8" s="7" t="s">
        <v>152</v>
      </c>
    </row>
  </sheetData>
  <mergeCells count="1">
    <mergeCell ref="A1:K1"/>
  </mergeCells>
  <pageMargins left="0.75" right="0.75" top="1" bottom="1" header="0.5" footer="0.5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selection sqref="A1:G1"/>
    </sheetView>
  </sheetViews>
  <sheetFormatPr defaultRowHeight="15" x14ac:dyDescent="0.25"/>
  <cols>
    <col min="1" max="1" width="20" style="18" customWidth="1"/>
    <col min="2" max="2" width="18" style="18" customWidth="1"/>
    <col min="3" max="6" width="22" style="18" customWidth="1"/>
    <col min="7" max="7" width="45" style="18" customWidth="1"/>
  </cols>
  <sheetData>
    <row r="1" spans="1:7" ht="39.950000000000003" customHeight="1" x14ac:dyDescent="0.25">
      <c r="A1" s="31" t="s">
        <v>153</v>
      </c>
      <c r="B1" s="25"/>
      <c r="C1" s="25"/>
      <c r="D1" s="25"/>
      <c r="E1" s="25"/>
      <c r="F1" s="25"/>
      <c r="G1" s="25"/>
    </row>
    <row r="3" spans="1:7" ht="27.95" customHeight="1" x14ac:dyDescent="0.25">
      <c r="A3" s="17" t="s">
        <v>154</v>
      </c>
      <c r="B3" s="17" t="s">
        <v>140</v>
      </c>
      <c r="C3" s="17" t="s">
        <v>155</v>
      </c>
      <c r="D3" s="17" t="s">
        <v>119</v>
      </c>
      <c r="E3" s="17" t="s">
        <v>156</v>
      </c>
      <c r="F3" s="17" t="s">
        <v>157</v>
      </c>
      <c r="G3" s="17" t="s">
        <v>158</v>
      </c>
    </row>
    <row r="4" spans="1:7" ht="24" customHeight="1" x14ac:dyDescent="0.25">
      <c r="A4" s="10" t="s">
        <v>159</v>
      </c>
      <c r="B4" s="11" t="s">
        <v>160</v>
      </c>
      <c r="C4" s="11" t="s">
        <v>160</v>
      </c>
      <c r="D4" s="12" t="s">
        <v>161</v>
      </c>
      <c r="E4" s="12" t="s">
        <v>161</v>
      </c>
      <c r="F4" s="12" t="s">
        <v>161</v>
      </c>
      <c r="G4" s="7" t="s">
        <v>162</v>
      </c>
    </row>
    <row r="5" spans="1:7" ht="24" customHeight="1" x14ac:dyDescent="0.25">
      <c r="A5" s="10" t="s">
        <v>118</v>
      </c>
      <c r="B5" s="11" t="s">
        <v>160</v>
      </c>
      <c r="C5" s="11" t="s">
        <v>160</v>
      </c>
      <c r="D5" s="13" t="s">
        <v>163</v>
      </c>
      <c r="E5" s="13" t="s">
        <v>163</v>
      </c>
      <c r="F5" s="13" t="s">
        <v>164</v>
      </c>
      <c r="G5" s="7" t="s">
        <v>165</v>
      </c>
    </row>
    <row r="6" spans="1:7" ht="24" customHeight="1" x14ac:dyDescent="0.25">
      <c r="A6" s="10" t="s">
        <v>166</v>
      </c>
      <c r="B6" s="11" t="s">
        <v>160</v>
      </c>
      <c r="C6" s="11" t="s">
        <v>160</v>
      </c>
      <c r="D6" s="11" t="s">
        <v>160</v>
      </c>
      <c r="E6" s="11" t="s">
        <v>160</v>
      </c>
      <c r="F6" s="11" t="s">
        <v>160</v>
      </c>
      <c r="G6" s="7" t="s">
        <v>167</v>
      </c>
    </row>
    <row r="7" spans="1:7" ht="24" customHeight="1" x14ac:dyDescent="0.25">
      <c r="A7" s="10" t="s">
        <v>168</v>
      </c>
      <c r="B7" s="11" t="s">
        <v>160</v>
      </c>
      <c r="C7" s="11" t="s">
        <v>160</v>
      </c>
      <c r="D7" s="13" t="s">
        <v>163</v>
      </c>
      <c r="E7" s="12" t="s">
        <v>161</v>
      </c>
      <c r="F7" s="14" t="s">
        <v>169</v>
      </c>
      <c r="G7" s="7" t="s">
        <v>170</v>
      </c>
    </row>
    <row r="8" spans="1:7" ht="24" customHeight="1" x14ac:dyDescent="0.25">
      <c r="A8" s="10" t="s">
        <v>139</v>
      </c>
      <c r="B8" s="11" t="s">
        <v>160</v>
      </c>
      <c r="C8" s="11" t="s">
        <v>160</v>
      </c>
      <c r="D8" s="11" t="s">
        <v>160</v>
      </c>
      <c r="E8" s="13" t="s">
        <v>163</v>
      </c>
      <c r="F8" s="12" t="s">
        <v>161</v>
      </c>
      <c r="G8" s="7" t="s">
        <v>171</v>
      </c>
    </row>
    <row r="9" spans="1:7" ht="24" customHeight="1" x14ac:dyDescent="0.25">
      <c r="A9" s="10" t="s">
        <v>147</v>
      </c>
      <c r="B9" s="11" t="s">
        <v>160</v>
      </c>
      <c r="C9" s="11" t="s">
        <v>160</v>
      </c>
      <c r="D9" s="11" t="s">
        <v>160</v>
      </c>
      <c r="E9" s="13" t="s">
        <v>163</v>
      </c>
      <c r="F9" s="14" t="s">
        <v>172</v>
      </c>
      <c r="G9" s="7" t="s">
        <v>173</v>
      </c>
    </row>
  </sheetData>
  <mergeCells count="1">
    <mergeCell ref="A1:G1"/>
  </mergeCells>
  <pageMargins left="0.75" right="0.75" top="1" bottom="1" header="0.5" footer="0.5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tabSelected="1" workbookViewId="0">
      <selection activeCell="C13" sqref="C13"/>
    </sheetView>
  </sheetViews>
  <sheetFormatPr defaultRowHeight="15" x14ac:dyDescent="0.25"/>
  <cols>
    <col min="1" max="1" width="35.7109375" customWidth="1"/>
    <col min="2" max="2" width="22.42578125" customWidth="1"/>
    <col min="3" max="3" width="20.140625" customWidth="1"/>
    <col min="4" max="4" width="33.7109375" customWidth="1"/>
  </cols>
  <sheetData>
    <row r="1" spans="1:4" x14ac:dyDescent="0.25">
      <c r="A1" t="s">
        <v>174</v>
      </c>
      <c r="B1" t="s">
        <v>31</v>
      </c>
      <c r="C1" t="s">
        <v>175</v>
      </c>
      <c r="D1" t="s">
        <v>176</v>
      </c>
    </row>
    <row r="2" spans="1:4" x14ac:dyDescent="0.25">
      <c r="A2" t="s">
        <v>177</v>
      </c>
      <c r="B2" t="s">
        <v>37</v>
      </c>
      <c r="C2" t="s">
        <v>35</v>
      </c>
      <c r="D2" t="s">
        <v>178</v>
      </c>
    </row>
    <row r="3" spans="1:4" x14ac:dyDescent="0.25">
      <c r="A3" t="s">
        <v>179</v>
      </c>
      <c r="B3" t="s">
        <v>41</v>
      </c>
      <c r="C3" t="s">
        <v>39</v>
      </c>
      <c r="D3" t="s">
        <v>42</v>
      </c>
    </row>
    <row r="4" spans="1:4" x14ac:dyDescent="0.25">
      <c r="A4" t="s">
        <v>44</v>
      </c>
      <c r="B4" t="s">
        <v>45</v>
      </c>
      <c r="C4" t="s">
        <v>43</v>
      </c>
      <c r="D4" t="s">
        <v>46</v>
      </c>
    </row>
    <row r="5" spans="1:4" x14ac:dyDescent="0.25">
      <c r="A5" t="s">
        <v>180</v>
      </c>
      <c r="B5" t="s">
        <v>181</v>
      </c>
      <c r="C5" t="s">
        <v>43</v>
      </c>
      <c r="D5" t="s">
        <v>182</v>
      </c>
    </row>
    <row r="6" spans="1:4" x14ac:dyDescent="0.25">
      <c r="A6" t="s">
        <v>48</v>
      </c>
      <c r="B6" t="s">
        <v>49</v>
      </c>
      <c r="C6" t="s">
        <v>47</v>
      </c>
      <c r="D6" t="s">
        <v>50</v>
      </c>
    </row>
    <row r="7" spans="1:4" x14ac:dyDescent="0.25">
      <c r="A7" t="s">
        <v>52</v>
      </c>
      <c r="B7" t="s">
        <v>53</v>
      </c>
      <c r="C7" t="s">
        <v>51</v>
      </c>
      <c r="D7" t="s">
        <v>54</v>
      </c>
    </row>
    <row r="8" spans="1:4" x14ac:dyDescent="0.25">
      <c r="A8" t="s">
        <v>183</v>
      </c>
      <c r="B8" t="s">
        <v>184</v>
      </c>
      <c r="C8" t="s">
        <v>35</v>
      </c>
      <c r="D8" t="s">
        <v>185</v>
      </c>
    </row>
    <row r="9" spans="1:4" x14ac:dyDescent="0.25">
      <c r="A9" t="s">
        <v>186</v>
      </c>
      <c r="B9" t="s">
        <v>187</v>
      </c>
      <c r="C9" t="s">
        <v>39</v>
      </c>
      <c r="D9" t="s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Technical Recipe Sheet</vt:lpstr>
      <vt:lpstr>R&amp;D Master Trial Log</vt:lpstr>
      <vt:lpstr>Fabric Compatibility Matrix</vt:lpstr>
      <vt:lpstr>Chemical Ink 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2026-07-31T12:54:57Z</cp:lastPrinted>
  <dcterms:created xsi:type="dcterms:W3CDTF">2026-07-31T12:46:13Z</dcterms:created>
  <dcterms:modified xsi:type="dcterms:W3CDTF">2026-08-01T12:47:34Z</dcterms:modified>
</cp:coreProperties>
</file>